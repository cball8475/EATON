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  <sheet name="Summary" sheetId="2" state="visible" r:id="rId2"/>
    <sheet name="Assumptions &amp; Open Items" sheetId="3" state="visible" r:id="rId3"/>
  </sheets>
  <definedNames>
    <definedName name="_xlnm._FilterDatabase" localSheetId="0" hidden="1">'Roadmap'!$A$6:$I$58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6F3D"/>
      <sz val="10"/>
    </font>
    <font>
      <name val="Arial"/>
      <b val="1"/>
      <color rgb="00C00000"/>
      <sz val="10"/>
    </font>
    <font>
      <name val="Arial"/>
      <i val="1"/>
      <color rgb="00808080"/>
      <sz val="9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9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horizontal="center" vertical="top"/>
    </xf>
    <xf numFmtId="0" fontId="10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166" fontId="6" fillId="0" borderId="1" pivotButton="0" quotePrefix="0" xfId="0"/>
    <xf numFmtId="165" fontId="6" fillId="0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166" fontId="3" fillId="4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52" customWidth="1" min="3" max="3"/>
    <col width="22" customWidth="1" min="4" max="4"/>
    <col width="14" customWidth="1" min="5" max="5"/>
    <col width="13" customWidth="1" min="6" max="6"/>
    <col width="12" customWidth="1" min="7" max="7"/>
    <col width="46" customWidth="1" min="8" max="8"/>
    <col width="34" customWidth="1" min="9" max="9"/>
  </cols>
  <sheetData>
    <row r="1">
      <c r="A1" s="1" t="inlineStr">
        <is>
          <t>EHS Project Roadmap — Sumter, SC</t>
        </is>
      </c>
    </row>
    <row r="2">
      <c r="A2" s="2" t="inlineStr">
        <is>
          <t>Prepared by Charlie Ball for Kate Fowler · priorities 1-6 as assigned 31-Jul-2026 · targets run through Q2 2027</t>
        </is>
      </c>
    </row>
    <row r="3">
      <c r="A3" s="3" t="inlineStr">
        <is>
          <t>HOW TO USE: Column I is yours — add milestones, dates or comments there. Columns A-H are maintained by Charlie; Status (F) updates at each 1:1. Yellow = your input.</t>
        </is>
      </c>
    </row>
    <row r="4">
      <c r="A4" s="4" t="inlineStr">
        <is>
          <t>Dates are working targets, not committed dates. Anything already past its date shows Status = Overdue. D1 Ref is the task or knowledge ID in the EHS command centre.</t>
        </is>
      </c>
    </row>
    <row r="6" ht="30" customHeight="1">
      <c r="A6" s="5" t="inlineStr">
        <is>
          <t>Pri</t>
        </is>
      </c>
      <c r="B6" s="5" t="inlineStr">
        <is>
          <t>Workstream</t>
        </is>
      </c>
      <c r="C6" s="5" t="inlineStr">
        <is>
          <t>Milestone / Deliverable</t>
        </is>
      </c>
      <c r="D6" s="5" t="inlineStr">
        <is>
          <t>Owner</t>
        </is>
      </c>
      <c r="E6" s="5" t="inlineStr">
        <is>
          <t>Target Date</t>
        </is>
      </c>
      <c r="F6" s="5" t="inlineStr">
        <is>
          <t>Status</t>
        </is>
      </c>
      <c r="G6" s="5" t="inlineStr">
        <is>
          <t>D1 Ref</t>
        </is>
      </c>
      <c r="H6" s="5" t="inlineStr">
        <is>
          <t>Dependency / Note</t>
        </is>
      </c>
      <c r="I6" s="5" t="inlineStr">
        <is>
          <t>Kate — Milestone or Comment</t>
        </is>
      </c>
    </row>
    <row r="7">
      <c r="A7" s="6" t="n">
        <v>1</v>
      </c>
      <c r="B7" s="7" t="inlineStr">
        <is>
          <t>Respirators</t>
        </is>
      </c>
      <c r="C7" s="8" t="inlineStr">
        <is>
          <t>Reschedule respirator inspection session</t>
        </is>
      </c>
      <c r="D7" s="7" t="inlineStr">
        <is>
          <t>Charlie</t>
        </is>
      </c>
      <c r="E7" s="9" t="n">
        <v>46248</v>
      </c>
      <c r="F7" s="10" t="inlineStr">
        <is>
          <t>In progress</t>
        </is>
      </c>
      <c r="G7" s="6" t="inlineStr">
        <is>
          <t>#737</t>
        </is>
      </c>
      <c r="H7" s="8" t="inlineStr"/>
      <c r="I7" s="11" t="inlineStr">
        <is>
          <t>e.g. Gate review with Laura — 15-Sep</t>
        </is>
      </c>
    </row>
    <row r="8">
      <c r="A8" s="6" t="n">
        <v>1</v>
      </c>
      <c r="B8" s="7" t="inlineStr">
        <is>
          <t>Respirators</t>
        </is>
      </c>
      <c r="C8" s="8" t="inlineStr">
        <is>
          <t>Semi-annual respirator inspection &amp; cleaning</t>
        </is>
      </c>
      <c r="D8" s="7" t="inlineStr">
        <is>
          <t>Charlie</t>
        </is>
      </c>
      <c r="E8" s="9" t="n">
        <v>46295</v>
      </c>
      <c r="F8" s="6" t="inlineStr">
        <is>
          <t>Not started</t>
        </is>
      </c>
      <c r="G8" s="6" t="inlineStr">
        <is>
          <t>#470</t>
        </is>
      </c>
      <c r="H8" s="8" t="inlineStr">
        <is>
          <t>Benchmark compliance item</t>
        </is>
      </c>
      <c r="I8" s="12" t="inlineStr"/>
    </row>
    <row r="9">
      <c r="A9" s="6" t="n">
        <v>1</v>
      </c>
      <c r="B9" s="7" t="inlineStr">
        <is>
          <t>Respirators</t>
        </is>
      </c>
      <c r="C9" s="8" t="inlineStr">
        <is>
          <t>Respirator TPM / cleaning schedule confirmed in place</t>
        </is>
      </c>
      <c r="D9" s="7" t="inlineStr">
        <is>
          <t>Charlie</t>
        </is>
      </c>
      <c r="E9" s="9" t="n">
        <v>46295</v>
      </c>
      <c r="F9" s="6" t="inlineStr">
        <is>
          <t>Not started</t>
        </is>
      </c>
      <c r="G9" s="6" t="inlineStr">
        <is>
          <t>#626</t>
        </is>
      </c>
      <c r="H9" s="8" t="inlineStr"/>
      <c r="I9" s="12" t="inlineStr"/>
    </row>
    <row r="10">
      <c r="A10" s="6" t="n">
        <v>1</v>
      </c>
      <c r="B10" s="7" t="inlineStr">
        <is>
          <t>Respirators</t>
        </is>
      </c>
      <c r="C10" s="8" t="inlineStr">
        <is>
          <t>NIOSH 25/26/27 forms organised into folders</t>
        </is>
      </c>
      <c r="D10" s="7" t="inlineStr">
        <is>
          <t>Charlie</t>
        </is>
      </c>
      <c r="E10" s="9" t="n">
        <v>46325</v>
      </c>
      <c r="F10" s="6" t="inlineStr">
        <is>
          <t>Not started</t>
        </is>
      </c>
      <c r="G10" s="6" t="inlineStr">
        <is>
          <t>#488</t>
        </is>
      </c>
      <c r="H10" s="8" t="inlineStr"/>
      <c r="I10" s="12" t="inlineStr"/>
    </row>
    <row r="11">
      <c r="A11" s="6" t="n">
        <v>1</v>
      </c>
      <c r="B11" s="7" t="inlineStr">
        <is>
          <t>Respirators</t>
        </is>
      </c>
      <c r="C11" s="8" t="inlineStr">
        <is>
          <t>Respiratory protection program annual review documented</t>
        </is>
      </c>
      <c r="D11" s="7" t="inlineStr">
        <is>
          <t>Charlie</t>
        </is>
      </c>
      <c r="E11" s="9" t="n">
        <v>46356</v>
      </c>
      <c r="F11" s="6" t="inlineStr">
        <is>
          <t>Not started</t>
        </is>
      </c>
      <c r="G11" s="6" t="inlineStr">
        <is>
          <t>#523</t>
        </is>
      </c>
      <c r="H11" s="8" t="inlineStr">
        <is>
          <t>Rides the MESH element review</t>
        </is>
      </c>
      <c r="I11" s="12" t="inlineStr"/>
    </row>
    <row r="12">
      <c r="A12" s="6" t="n">
        <v>1</v>
      </c>
      <c r="B12" s="7" t="inlineStr">
        <is>
          <t>Respirators</t>
        </is>
      </c>
      <c r="C12" s="8" t="inlineStr">
        <is>
          <t>2027 cycle scheduled + program closed out</t>
        </is>
      </c>
      <c r="D12" s="7" t="inlineStr">
        <is>
          <t>Charlie</t>
        </is>
      </c>
      <c r="E12" s="9" t="n">
        <v>46416</v>
      </c>
      <c r="F12" s="6" t="inlineStr">
        <is>
          <t>Not started</t>
        </is>
      </c>
      <c r="G12" s="6" t="inlineStr"/>
      <c r="H12" s="8" t="inlineStr"/>
      <c r="I12" s="12" t="inlineStr"/>
    </row>
    <row r="13">
      <c r="A13" s="13" t="n">
        <v>2</v>
      </c>
      <c r="B13" s="14" t="inlineStr">
        <is>
          <t>Scrap Bin Standardization</t>
        </is>
      </c>
      <c r="C13" s="15" t="inlineStr">
        <is>
          <t>Walk scrap process with Kate, Jad, Ashwin</t>
        </is>
      </c>
      <c r="D13" s="14" t="inlineStr">
        <is>
          <t>Charlie</t>
        </is>
      </c>
      <c r="E13" s="16" t="n">
        <v>46255</v>
      </c>
      <c r="F13" s="13" t="inlineStr">
        <is>
          <t>Not started</t>
        </is>
      </c>
      <c r="G13" s="13" t="inlineStr">
        <is>
          <t>#525</t>
        </is>
      </c>
      <c r="H13" s="15" t="inlineStr">
        <is>
          <t>Prerequisite to back-plate design</t>
        </is>
      </c>
      <c r="I13" s="12" t="inlineStr"/>
    </row>
    <row r="14">
      <c r="A14" s="13" t="n">
        <v>2</v>
      </c>
      <c r="B14" s="14" t="inlineStr">
        <is>
          <t>Scrap Bin Standardization</t>
        </is>
      </c>
      <c r="C14" s="15" t="inlineStr">
        <is>
          <t>Scrap-bin back plate designed</t>
        </is>
      </c>
      <c r="D14" s="14" t="inlineStr">
        <is>
          <t>Charlie / Ashwin</t>
        </is>
      </c>
      <c r="E14" s="16" t="n">
        <v>46290</v>
      </c>
      <c r="F14" s="13" t="inlineStr">
        <is>
          <t>Not started</t>
        </is>
      </c>
      <c r="G14" s="13" t="inlineStr">
        <is>
          <t>#525</t>
        </is>
      </c>
      <c r="H14" s="15" t="inlineStr">
        <is>
          <t>Bins rotate off 2nd rotator; plate removes manual dumping</t>
        </is>
      </c>
      <c r="I14" s="12" t="inlineStr"/>
    </row>
    <row r="15">
      <c r="A15" s="13" t="n">
        <v>2</v>
      </c>
      <c r="B15" s="14" t="inlineStr">
        <is>
          <t>Scrap Bin Standardization</t>
        </is>
      </c>
      <c r="C15" s="15" t="inlineStr">
        <is>
          <t>Back plate fabricated + trialled</t>
        </is>
      </c>
      <c r="D15" s="14" t="inlineStr">
        <is>
          <t>ATS / Ashwin</t>
        </is>
      </c>
      <c r="E15" s="16" t="n">
        <v>46325</v>
      </c>
      <c r="F15" s="13" t="inlineStr">
        <is>
          <t>Not started</t>
        </is>
      </c>
      <c r="G15" s="13" t="inlineStr">
        <is>
          <t>#525</t>
        </is>
      </c>
      <c r="H15" s="15" t="inlineStr"/>
      <c r="I15" s="12" t="inlineStr"/>
    </row>
    <row r="16">
      <c r="A16" s="13" t="n">
        <v>2</v>
      </c>
      <c r="B16" s="14" t="inlineStr">
        <is>
          <t>Scrap Bin Standardization</t>
        </is>
      </c>
      <c r="C16" s="15" t="inlineStr">
        <is>
          <t>Gray / blue cart standard defined (5S+ shed)</t>
        </is>
      </c>
      <c r="D16" s="14" t="inlineStr">
        <is>
          <t>Charlie</t>
        </is>
      </c>
      <c r="E16" s="16" t="n">
        <v>46325</v>
      </c>
      <c r="F16" s="13" t="inlineStr">
        <is>
          <t>Not started</t>
        </is>
      </c>
      <c r="G16" s="13" t="inlineStr"/>
      <c r="H16" s="15" t="inlineStr"/>
      <c r="I16" s="12" t="inlineStr"/>
    </row>
    <row r="17">
      <c r="A17" s="13" t="n">
        <v>2</v>
      </c>
      <c r="B17" s="14" t="inlineStr">
        <is>
          <t>Scrap Bin Standardization</t>
        </is>
      </c>
      <c r="C17" s="15" t="inlineStr">
        <is>
          <t>Scrap-band standardization</t>
        </is>
      </c>
      <c r="D17" s="14" t="inlineStr">
        <is>
          <t>Charlie</t>
        </is>
      </c>
      <c r="E17" s="16" t="n">
        <v>46356</v>
      </c>
      <c r="F17" s="13" t="inlineStr">
        <is>
          <t>Not started</t>
        </is>
      </c>
      <c r="G17" s="13" t="inlineStr">
        <is>
          <t>#524</t>
        </is>
      </c>
      <c r="H17" s="15" t="inlineStr">
        <is>
          <t>One of the 5 roadmap risk-reduction projects</t>
        </is>
      </c>
      <c r="I17" s="12" t="inlineStr"/>
    </row>
    <row r="18">
      <c r="A18" s="13" t="n">
        <v>2</v>
      </c>
      <c r="B18" s="14" t="inlineStr">
        <is>
          <t>Scrap Bin Standardization</t>
        </is>
      </c>
      <c r="C18" s="15" t="inlineStr">
        <is>
          <t>Station cards issued for scrap handling</t>
        </is>
      </c>
      <c r="D18" s="14" t="inlineStr">
        <is>
          <t>Charlie</t>
        </is>
      </c>
      <c r="E18" s="16" t="n">
        <v>46444</v>
      </c>
      <c r="F18" s="13" t="inlineStr">
        <is>
          <t>Not started</t>
        </is>
      </c>
      <c r="G18" s="13" t="inlineStr">
        <is>
          <t>#524</t>
        </is>
      </c>
      <c r="H18" s="15" t="inlineStr"/>
      <c r="I18" s="12" t="inlineStr"/>
    </row>
    <row r="19">
      <c r="A19" s="13" t="n">
        <v>2</v>
      </c>
      <c r="B19" s="14" t="inlineStr">
        <is>
          <t>Scrap Bin Standardization</t>
        </is>
      </c>
      <c r="C19" s="15" t="inlineStr">
        <is>
          <t>Standard rolled to all fab areas</t>
        </is>
      </c>
      <c r="D19" s="14" t="inlineStr">
        <is>
          <t>Charlie</t>
        </is>
      </c>
      <c r="E19" s="16" t="n">
        <v>46477</v>
      </c>
      <c r="F19" s="13" t="inlineStr">
        <is>
          <t>Not started</t>
        </is>
      </c>
      <c r="G19" s="13" t="inlineStr"/>
      <c r="H19" s="15" t="inlineStr"/>
      <c r="I19" s="12" t="inlineStr"/>
    </row>
    <row r="20">
      <c r="A20" s="6" t="n">
        <v>3</v>
      </c>
      <c r="B20" s="7" t="inlineStr">
        <is>
          <t>Lifting Devices</t>
        </is>
      </c>
      <c r="C20" s="8" t="inlineStr">
        <is>
          <t>Vacuum lift solenoid project complete + GHG updated</t>
        </is>
      </c>
      <c r="D20" s="7" t="inlineStr">
        <is>
          <t>Charlie</t>
        </is>
      </c>
      <c r="E20" s="9" t="n">
        <v>46248</v>
      </c>
      <c r="F20" s="17" t="inlineStr">
        <is>
          <t>Overdue</t>
        </is>
      </c>
      <c r="G20" s="6" t="inlineStr">
        <is>
          <t>#691</t>
        </is>
      </c>
      <c r="H20" s="8" t="inlineStr">
        <is>
          <t>Benchmark #162, closure was 31-Jul-2026</t>
        </is>
      </c>
      <c r="I20" s="12" t="inlineStr"/>
    </row>
    <row r="21">
      <c r="A21" s="6" t="n">
        <v>3</v>
      </c>
      <c r="B21" s="7" t="inlineStr">
        <is>
          <t>Lifting Devices</t>
        </is>
      </c>
      <c r="C21" s="8" t="inlineStr">
        <is>
          <t>Crane inspections — Engineered Systems Inc</t>
        </is>
      </c>
      <c r="D21" s="7" t="inlineStr">
        <is>
          <t>Kate</t>
        </is>
      </c>
      <c r="E21" s="9" t="n">
        <v>46265</v>
      </c>
      <c r="F21" s="10" t="inlineStr">
        <is>
          <t>In progress</t>
        </is>
      </c>
      <c r="G21" s="6" t="inlineStr">
        <is>
          <t>#616</t>
        </is>
      </c>
      <c r="H21" s="8" t="inlineStr">
        <is>
          <t>Kate gathering cost for corporate across sites</t>
        </is>
      </c>
      <c r="I21" s="12" t="inlineStr"/>
    </row>
    <row r="22">
      <c r="A22" s="6" t="n">
        <v>3</v>
      </c>
      <c r="B22" s="7" t="inlineStr">
        <is>
          <t>Lifting Devices</t>
        </is>
      </c>
      <c r="C22" s="8" t="inlineStr">
        <is>
          <t>Q3 CapEx ~$250k received</t>
        </is>
      </c>
      <c r="D22" s="7" t="inlineStr">
        <is>
          <t>Kate</t>
        </is>
      </c>
      <c r="E22" s="9" t="n">
        <v>46265</v>
      </c>
      <c r="F22" s="10" t="inlineStr">
        <is>
          <t>In progress</t>
        </is>
      </c>
      <c r="G22" s="6" t="inlineStr">
        <is>
          <t>KN #467</t>
        </is>
      </c>
      <c r="H22" s="8" t="inlineStr">
        <is>
          <t>Budget gate for every purchase below</t>
        </is>
      </c>
      <c r="I22" s="12" t="inlineStr"/>
    </row>
    <row r="23">
      <c r="A23" s="6" t="n">
        <v>3</v>
      </c>
      <c r="B23" s="7" t="inlineStr">
        <is>
          <t>Lifting Devices</t>
        </is>
      </c>
      <c r="C23" s="8" t="inlineStr">
        <is>
          <t>Crane copper lifting devices — implementation plan</t>
        </is>
      </c>
      <c r="D23" s="7" t="inlineStr">
        <is>
          <t>Charlie</t>
        </is>
      </c>
      <c r="E23" s="9" t="n">
        <v>46262</v>
      </c>
      <c r="F23" s="10" t="inlineStr">
        <is>
          <t>In progress</t>
        </is>
      </c>
      <c r="G23" s="6" t="inlineStr">
        <is>
          <t>#696</t>
        </is>
      </c>
      <c r="H23" s="8" t="inlineStr"/>
      <c r="I23" s="12" t="inlineStr"/>
    </row>
    <row r="24">
      <c r="A24" s="6" t="n">
        <v>3</v>
      </c>
      <c r="B24" s="7" t="inlineStr">
        <is>
          <t>Lifting Devices</t>
        </is>
      </c>
      <c r="C24" s="8" t="inlineStr">
        <is>
          <t>Replacements specified + quoted</t>
        </is>
      </c>
      <c r="D24" s="7" t="inlineStr">
        <is>
          <t>Charlie / Kate</t>
        </is>
      </c>
      <c r="E24" s="9" t="n">
        <v>46283</v>
      </c>
      <c r="F24" s="6" t="inlineStr">
        <is>
          <t>Not started</t>
        </is>
      </c>
      <c r="G24" s="6" t="inlineStr">
        <is>
          <t>KN #467</t>
        </is>
      </c>
      <c r="H24" s="8" t="inlineStr">
        <is>
          <t>Sheet lifter by paint line + 3 others + big-door lifter lasers to conveyors</t>
        </is>
      </c>
      <c r="I24" s="12" t="inlineStr"/>
    </row>
    <row r="25">
      <c r="A25" s="6" t="n">
        <v>3</v>
      </c>
      <c r="B25" s="7" t="inlineStr">
        <is>
          <t>Lifting Devices</t>
        </is>
      </c>
      <c r="C25" s="8" t="inlineStr">
        <is>
          <t>PO placed / 10% down</t>
        </is>
      </c>
      <c r="D25" s="7" t="inlineStr">
        <is>
          <t>Kate</t>
        </is>
      </c>
      <c r="E25" s="9" t="n">
        <v>46295</v>
      </c>
      <c r="F25" s="6" t="inlineStr">
        <is>
          <t>Not started</t>
        </is>
      </c>
      <c r="G25" s="6" t="inlineStr"/>
      <c r="H25" s="8" t="inlineStr">
        <is>
          <t>10% down locks the project permanently</t>
        </is>
      </c>
      <c r="I25" s="12" t="inlineStr"/>
    </row>
    <row r="26">
      <c r="A26" s="6" t="n">
        <v>3</v>
      </c>
      <c r="B26" s="7" t="inlineStr">
        <is>
          <t>Lifting Devices</t>
        </is>
      </c>
      <c r="C26" s="8" t="inlineStr">
        <is>
          <t>Crane inspection checklist verified for under-hook devices</t>
        </is>
      </c>
      <c r="D26" s="7" t="inlineStr">
        <is>
          <t>Charlie</t>
        </is>
      </c>
      <c r="E26" s="9" t="n">
        <v>46295</v>
      </c>
      <c r="F26" s="6" t="inlineStr">
        <is>
          <t>Not started</t>
        </is>
      </c>
      <c r="G26" s="6" t="inlineStr">
        <is>
          <t>#309</t>
        </is>
      </c>
      <c r="H26" s="8" t="inlineStr">
        <is>
          <t>Badger lesson learned — 27-stitch laceration</t>
        </is>
      </c>
      <c r="I26" s="12" t="inlineStr"/>
    </row>
    <row r="27">
      <c r="A27" s="6" t="n">
        <v>3</v>
      </c>
      <c r="B27" s="7" t="inlineStr">
        <is>
          <t>Lifting Devices</t>
        </is>
      </c>
      <c r="C27" s="8" t="inlineStr">
        <is>
          <t>Overhead crane PM ownership resolved</t>
        </is>
      </c>
      <c r="D27" s="7" t="inlineStr">
        <is>
          <t>Charlie / Kate / Gireesh</t>
        </is>
      </c>
      <c r="E27" s="9" t="n">
        <v>46325</v>
      </c>
      <c r="F27" s="6" t="inlineStr">
        <is>
          <t>Not started</t>
        </is>
      </c>
      <c r="G27" s="6" t="inlineStr">
        <is>
          <t>KN #442</t>
        </is>
      </c>
      <c r="H27" s="8" t="inlineStr">
        <is>
          <t>Disputed between supply chain and fab; no PM owner</t>
        </is>
      </c>
      <c r="I27" s="12" t="inlineStr"/>
    </row>
    <row r="28">
      <c r="A28" s="6" t="n">
        <v>3</v>
      </c>
      <c r="B28" s="7" t="inlineStr">
        <is>
          <t>Lifting Devices</t>
        </is>
      </c>
      <c r="C28" s="8" t="inlineStr">
        <is>
          <t>Setup-frame crane retired, A-frame replaced</t>
        </is>
      </c>
      <c r="D28" s="7" t="inlineStr">
        <is>
          <t>Kate</t>
        </is>
      </c>
      <c r="E28" s="9" t="n">
        <v>46353</v>
      </c>
      <c r="F28" s="6" t="inlineStr">
        <is>
          <t>Not started</t>
        </is>
      </c>
      <c r="G28" s="6" t="inlineStr">
        <is>
          <t>KN #407</t>
        </is>
      </c>
      <c r="H28" s="8" t="inlineStr">
        <is>
          <t>IES spare motor + parts; Hodges shipment held</t>
        </is>
      </c>
      <c r="I28" s="12" t="inlineStr"/>
    </row>
    <row r="29">
      <c r="A29" s="6" t="n">
        <v>3</v>
      </c>
      <c r="B29" s="7" t="inlineStr">
        <is>
          <t>Lifting Devices</t>
        </is>
      </c>
      <c r="C29" s="8" t="inlineStr">
        <is>
          <t>Yellow gym-hoist training documented in setup</t>
        </is>
      </c>
      <c r="D29" s="7" t="inlineStr">
        <is>
          <t>Charlie / Marcus</t>
        </is>
      </c>
      <c r="E29" s="9" t="n">
        <v>46353</v>
      </c>
      <c r="F29" s="6" t="inlineStr">
        <is>
          <t>Not started</t>
        </is>
      </c>
      <c r="G29" s="6" t="inlineStr">
        <is>
          <t>#618</t>
        </is>
      </c>
      <c r="H29" s="8" t="inlineStr"/>
      <c r="I29" s="12" t="inlineStr"/>
    </row>
    <row r="30">
      <c r="A30" s="6" t="n">
        <v>3</v>
      </c>
      <c r="B30" s="7" t="inlineStr">
        <is>
          <t>Lifting Devices</t>
        </is>
      </c>
      <c r="C30" s="8" t="inlineStr">
        <is>
          <t>New lifting devices delivered + installed</t>
        </is>
      </c>
      <c r="D30" s="7" t="inlineStr">
        <is>
          <t>Charlie</t>
        </is>
      </c>
      <c r="E30" s="9" t="n">
        <v>46477</v>
      </c>
      <c r="F30" s="6" t="inlineStr">
        <is>
          <t>Not started</t>
        </is>
      </c>
      <c r="G30" s="6" t="inlineStr"/>
      <c r="H30" s="8" t="inlineStr">
        <is>
          <t>Lead time dependent on Sep PO</t>
        </is>
      </c>
      <c r="I30" s="12" t="inlineStr"/>
    </row>
    <row r="31">
      <c r="A31" s="6" t="n">
        <v>3</v>
      </c>
      <c r="B31" s="7" t="inlineStr">
        <is>
          <t>Lifting Devices</t>
        </is>
      </c>
      <c r="C31" s="8" t="inlineStr">
        <is>
          <t>Post-install verification + WSRA updates</t>
        </is>
      </c>
      <c r="D31" s="7" t="inlineStr">
        <is>
          <t>Charlie</t>
        </is>
      </c>
      <c r="E31" s="9" t="n">
        <v>46507</v>
      </c>
      <c r="F31" s="6" t="inlineStr">
        <is>
          <t>Not started</t>
        </is>
      </c>
      <c r="G31" s="6" t="inlineStr"/>
      <c r="H31" s="8" t="inlineStr"/>
      <c r="I31" s="12" t="inlineStr"/>
    </row>
    <row r="32">
      <c r="A32" s="13" t="n">
        <v>4</v>
      </c>
      <c r="B32" s="14" t="inlineStr">
        <is>
          <t>Press Brakes</t>
        </is>
      </c>
      <c r="C32" s="15" t="inlineStr">
        <is>
          <t>Press-brake safety alert (proper tool use) sent + confirmed</t>
        </is>
      </c>
      <c r="D32" s="14" t="inlineStr">
        <is>
          <t>Charlie</t>
        </is>
      </c>
      <c r="E32" s="16" t="n">
        <v>46241</v>
      </c>
      <c r="F32" s="18" t="inlineStr">
        <is>
          <t>In progress</t>
        </is>
      </c>
      <c r="G32" s="13" t="inlineStr">
        <is>
          <t>#687</t>
        </is>
      </c>
      <c r="H32" s="15" t="inlineStr"/>
      <c r="I32" s="12" t="inlineStr"/>
    </row>
    <row r="33">
      <c r="A33" s="13" t="n">
        <v>4</v>
      </c>
      <c r="B33" s="14" t="inlineStr">
        <is>
          <t>Press Brakes</t>
        </is>
      </c>
      <c r="C33" s="15" t="inlineStr">
        <is>
          <t>Dept-wide comm: tools, or no hands on press brakes</t>
        </is>
      </c>
      <c r="D33" s="14" t="inlineStr">
        <is>
          <t>Charlie</t>
        </is>
      </c>
      <c r="E33" s="16" t="n">
        <v>46241</v>
      </c>
      <c r="F33" s="19" t="inlineStr">
        <is>
          <t>Overdue</t>
        </is>
      </c>
      <c r="G33" s="13" t="inlineStr">
        <is>
          <t>#561 / #653</t>
        </is>
      </c>
      <c r="H33" s="15" t="inlineStr"/>
      <c r="I33" s="12" t="inlineStr"/>
    </row>
    <row r="34">
      <c r="A34" s="13" t="n">
        <v>4</v>
      </c>
      <c r="B34" s="14" t="inlineStr">
        <is>
          <t>Press Brakes</t>
        </is>
      </c>
      <c r="C34" s="15" t="inlineStr">
        <is>
          <t>Operator safety talk-down run</t>
        </is>
      </c>
      <c r="D34" s="14" t="inlineStr">
        <is>
          <t>Charlie</t>
        </is>
      </c>
      <c r="E34" s="16" t="n">
        <v>46248</v>
      </c>
      <c r="F34" s="19" t="inlineStr">
        <is>
          <t>Overdue</t>
        </is>
      </c>
      <c r="G34" s="13" t="inlineStr">
        <is>
          <t>#654</t>
        </is>
      </c>
      <c r="H34" s="15" t="inlineStr"/>
      <c r="I34" s="12" t="inlineStr"/>
    </row>
    <row r="35">
      <c r="A35" s="13" t="n">
        <v>4</v>
      </c>
      <c r="B35" s="14" t="inlineStr">
        <is>
          <t>Press Brakes</t>
        </is>
      </c>
      <c r="C35" s="15" t="inlineStr">
        <is>
          <t>Formal near-miss record opened + Ashwin meeting</t>
        </is>
      </c>
      <c r="D35" s="14" t="inlineStr">
        <is>
          <t>Charlie / Ashwin</t>
        </is>
      </c>
      <c r="E35" s="16" t="n">
        <v>46248</v>
      </c>
      <c r="F35" s="13" t="inlineStr">
        <is>
          <t>Not started</t>
        </is>
      </c>
      <c r="G35" s="13" t="inlineStr">
        <is>
          <t>#623</t>
        </is>
      </c>
      <c r="H35" s="15" t="inlineStr"/>
      <c r="I35" s="12" t="inlineStr"/>
    </row>
    <row r="36">
      <c r="A36" s="13" t="n">
        <v>4</v>
      </c>
      <c r="B36" s="14" t="inlineStr">
        <is>
          <t>Press Brakes</t>
        </is>
      </c>
      <c r="C36" s="15" t="inlineStr">
        <is>
          <t>Method sheet updated for changing dies</t>
        </is>
      </c>
      <c r="D36" s="14" t="inlineStr">
        <is>
          <t>Charlie</t>
        </is>
      </c>
      <c r="E36" s="16" t="n">
        <v>46255</v>
      </c>
      <c r="F36" s="19" t="inlineStr">
        <is>
          <t>Overdue</t>
        </is>
      </c>
      <c r="G36" s="13" t="inlineStr">
        <is>
          <t>#690</t>
        </is>
      </c>
      <c r="H36" s="15" t="inlineStr"/>
      <c r="I36" s="12" t="inlineStr"/>
    </row>
    <row r="37">
      <c r="A37" s="13" t="n">
        <v>4</v>
      </c>
      <c r="B37" s="14" t="inlineStr">
        <is>
          <t>Press Brakes</t>
        </is>
      </c>
      <c r="C37" s="15" t="inlineStr">
        <is>
          <t>High-risk part population defined + safe routing method</t>
        </is>
      </c>
      <c r="D37" s="14" t="inlineStr">
        <is>
          <t>Charlie / Ashwin</t>
        </is>
      </c>
      <c r="E37" s="16" t="n">
        <v>46276</v>
      </c>
      <c r="F37" s="13" t="inlineStr">
        <is>
          <t>Not started</t>
        </is>
      </c>
      <c r="G37" s="13" t="inlineStr">
        <is>
          <t>#664</t>
        </is>
      </c>
      <c r="H37" s="15" t="inlineStr">
        <is>
          <t>Gates the routing milestone below</t>
        </is>
      </c>
      <c r="I37" s="12" t="inlineStr"/>
    </row>
    <row r="38">
      <c r="A38" s="13" t="n">
        <v>4</v>
      </c>
      <c r="B38" s="14" t="inlineStr">
        <is>
          <t>Press Brakes</t>
        </is>
      </c>
      <c r="C38" s="15" t="inlineStr">
        <is>
          <t>Press-brake training package built</t>
        </is>
      </c>
      <c r="D38" s="14" t="inlineStr">
        <is>
          <t>Charlie</t>
        </is>
      </c>
      <c r="E38" s="16" t="n">
        <v>46295</v>
      </c>
      <c r="F38" s="13" t="inlineStr">
        <is>
          <t>Not started</t>
        </is>
      </c>
      <c r="G38" s="13" t="inlineStr">
        <is>
          <t>#660</t>
        </is>
      </c>
      <c r="H38" s="15" t="inlineStr">
        <is>
          <t>Ron Brown / Marty Honey</t>
        </is>
      </c>
      <c r="I38" s="12" t="inlineStr"/>
    </row>
    <row r="39">
      <c r="A39" s="13" t="n">
        <v>4</v>
      </c>
      <c r="B39" s="14" t="inlineStr">
        <is>
          <t>Press Brakes</t>
        </is>
      </c>
      <c r="C39" s="15" t="inlineStr">
        <is>
          <t>AI camera / vision system specified + ordered</t>
        </is>
      </c>
      <c r="D39" s="14" t="inlineStr">
        <is>
          <t>Charlie / Ashwin</t>
        </is>
      </c>
      <c r="E39" s="16" t="n">
        <v>46325</v>
      </c>
      <c r="F39" s="13" t="inlineStr">
        <is>
          <t>Not started</t>
        </is>
      </c>
      <c r="G39" s="13" t="inlineStr">
        <is>
          <t>#521</t>
        </is>
      </c>
      <c r="H39" s="15" t="inlineStr">
        <is>
          <t>Needs Q3 CapEx confirmed</t>
        </is>
      </c>
      <c r="I39" s="12" t="inlineStr"/>
    </row>
    <row r="40">
      <c r="A40" s="13" t="n">
        <v>4</v>
      </c>
      <c r="B40" s="14" t="inlineStr">
        <is>
          <t>Press Brakes</t>
        </is>
      </c>
      <c r="C40" s="15" t="inlineStr">
        <is>
          <t>HRPs routed through the 4 safe press brakes + Amada</t>
        </is>
      </c>
      <c r="D40" s="14" t="inlineStr">
        <is>
          <t>Charlie / Ashwin</t>
        </is>
      </c>
      <c r="E40" s="16" t="n">
        <v>46356</v>
      </c>
      <c r="F40" s="13" t="inlineStr">
        <is>
          <t>Not started</t>
        </is>
      </c>
      <c r="G40" s="13" t="inlineStr">
        <is>
          <t>#521</t>
        </is>
      </c>
      <c r="H40" s="15" t="inlineStr">
        <is>
          <t>See Assumptions tab — definition of done</t>
        </is>
      </c>
      <c r="I40" s="12" t="inlineStr"/>
    </row>
    <row r="41">
      <c r="A41" s="13" t="n">
        <v>4</v>
      </c>
      <c r="B41" s="14" t="inlineStr">
        <is>
          <t>Press Brakes</t>
        </is>
      </c>
      <c r="C41" s="15" t="inlineStr">
        <is>
          <t>New-equipment safety standard written</t>
        </is>
      </c>
      <c r="D41" s="14" t="inlineStr">
        <is>
          <t>Charlie</t>
        </is>
      </c>
      <c r="E41" s="16" t="n">
        <v>46356</v>
      </c>
      <c r="F41" s="13" t="inlineStr">
        <is>
          <t>Not started</t>
        </is>
      </c>
      <c r="G41" s="13" t="inlineStr">
        <is>
          <t>#521</t>
        </is>
      </c>
      <c r="H41" s="15" t="inlineStr">
        <is>
          <t>Sumter leads this corporately</t>
        </is>
      </c>
      <c r="I41" s="12" t="inlineStr"/>
    </row>
    <row r="42">
      <c r="A42" s="13" t="n">
        <v>4</v>
      </c>
      <c r="B42" s="14" t="inlineStr">
        <is>
          <t>Press Brakes</t>
        </is>
      </c>
      <c r="C42" s="15" t="inlineStr">
        <is>
          <t>Weekly press-brake safety meeting</t>
        </is>
      </c>
      <c r="D42" s="14" t="inlineStr">
        <is>
          <t>Charlie</t>
        </is>
      </c>
      <c r="E42" s="16" t="n">
        <v>46387</v>
      </c>
      <c r="F42" s="18" t="inlineStr">
        <is>
          <t>In progress</t>
        </is>
      </c>
      <c r="G42" s="13" t="inlineStr">
        <is>
          <t>#658</t>
        </is>
      </c>
      <c r="H42" s="15" t="inlineStr">
        <is>
          <t>Recurring, runs through the project</t>
        </is>
      </c>
      <c r="I42" s="12" t="inlineStr"/>
    </row>
    <row r="43">
      <c r="A43" s="13" t="n">
        <v>4</v>
      </c>
      <c r="B43" s="14" t="inlineStr">
        <is>
          <t>Press Brakes</t>
        </is>
      </c>
      <c r="C43" s="15" t="inlineStr">
        <is>
          <t>AI camera system installed + validated</t>
        </is>
      </c>
      <c r="D43" s="14" t="inlineStr">
        <is>
          <t>Charlie / Ashwin</t>
        </is>
      </c>
      <c r="E43" s="16" t="n">
        <v>46477</v>
      </c>
      <c r="F43" s="13" t="inlineStr">
        <is>
          <t>Not started</t>
        </is>
      </c>
      <c r="G43" s="13" t="inlineStr">
        <is>
          <t>#521</t>
        </is>
      </c>
      <c r="H43" s="15" t="inlineStr"/>
      <c r="I43" s="12" t="inlineStr"/>
    </row>
    <row r="44">
      <c r="A44" s="6" t="n">
        <v>5</v>
      </c>
      <c r="B44" s="7" t="inlineStr">
        <is>
          <t>Laceration Risks</t>
        </is>
      </c>
      <c r="C44" s="8" t="inlineStr">
        <is>
          <t>May lessons learned entered</t>
        </is>
      </c>
      <c r="D44" s="7" t="inlineStr">
        <is>
          <t>Charlie</t>
        </is>
      </c>
      <c r="E44" s="9" t="n">
        <v>46248</v>
      </c>
      <c r="F44" s="17" t="inlineStr">
        <is>
          <t>Overdue</t>
        </is>
      </c>
      <c r="G44" s="6" t="inlineStr">
        <is>
          <t>#545</t>
        </is>
      </c>
      <c r="H44" s="8" t="inlineStr"/>
      <c r="I44" s="12" t="inlineStr"/>
    </row>
    <row r="45">
      <c r="A45" s="6" t="n">
        <v>5</v>
      </c>
      <c r="B45" s="7" t="inlineStr">
        <is>
          <t>Laceration Risks</t>
        </is>
      </c>
      <c r="C45" s="8" t="inlineStr">
        <is>
          <t>Finger-laceration reportable + corrective actions distributed</t>
        </is>
      </c>
      <c r="D45" s="7" t="inlineStr">
        <is>
          <t>Kate</t>
        </is>
      </c>
      <c r="E45" s="9" t="n">
        <v>46248</v>
      </c>
      <c r="F45" s="6" t="inlineStr">
        <is>
          <t>Not started</t>
        </is>
      </c>
      <c r="G45" s="6" t="inlineStr">
        <is>
          <t>#444</t>
        </is>
      </c>
      <c r="H45" s="8" t="inlineStr"/>
      <c r="I45" s="12" t="inlineStr"/>
    </row>
    <row r="46">
      <c r="A46" s="6" t="n">
        <v>5</v>
      </c>
      <c r="B46" s="7" t="inlineStr">
        <is>
          <t>Laceration Risks</t>
        </is>
      </c>
      <c r="C46" s="8" t="inlineStr">
        <is>
          <t>Offal staging carts with protruding pieces eliminated</t>
        </is>
      </c>
      <c r="D46" s="7" t="inlineStr">
        <is>
          <t>Charlie</t>
        </is>
      </c>
      <c r="E46" s="9" t="n">
        <v>46290</v>
      </c>
      <c r="F46" s="10" t="inlineStr">
        <is>
          <t>In progress</t>
        </is>
      </c>
      <c r="G46" s="6" t="inlineStr">
        <is>
          <t>#515</t>
        </is>
      </c>
      <c r="H46" s="8" t="inlineStr"/>
      <c r="I46" s="12" t="inlineStr"/>
    </row>
    <row r="47">
      <c r="A47" s="6" t="n">
        <v>5</v>
      </c>
      <c r="B47" s="7" t="inlineStr">
        <is>
          <t>Laceration Risks</t>
        </is>
      </c>
      <c r="C47" s="8" t="inlineStr">
        <is>
          <t>L-bracket / guard under conveyor machine return</t>
        </is>
      </c>
      <c r="D47" s="7" t="inlineStr">
        <is>
          <t>Charlie</t>
        </is>
      </c>
      <c r="E47" s="9" t="n">
        <v>46290</v>
      </c>
      <c r="F47" s="6" t="inlineStr">
        <is>
          <t>Not started</t>
        </is>
      </c>
      <c r="G47" s="6" t="inlineStr">
        <is>
          <t>#336</t>
        </is>
      </c>
      <c r="H47" s="8" t="inlineStr">
        <is>
          <t>Also addresses heat reflection</t>
        </is>
      </c>
      <c r="I47" s="12" t="inlineStr"/>
    </row>
    <row r="48">
      <c r="A48" s="6" t="n">
        <v>5</v>
      </c>
      <c r="B48" s="7" t="inlineStr">
        <is>
          <t>Laceration Risks</t>
        </is>
      </c>
      <c r="C48" s="8" t="inlineStr">
        <is>
          <t>Band-cutting standard work closed</t>
        </is>
      </c>
      <c r="D48" s="7" t="inlineStr">
        <is>
          <t>Charlie</t>
        </is>
      </c>
      <c r="E48" s="9" t="n">
        <v>46325</v>
      </c>
      <c r="F48" s="6" t="inlineStr">
        <is>
          <t>Not started</t>
        </is>
      </c>
      <c r="G48" s="6" t="inlineStr">
        <is>
          <t>#632</t>
        </is>
      </c>
      <c r="H48" s="8" t="inlineStr">
        <is>
          <t>Falling-channels near-miss</t>
        </is>
      </c>
      <c r="I48" s="12" t="inlineStr"/>
    </row>
    <row r="49">
      <c r="A49" s="6" t="n">
        <v>5</v>
      </c>
      <c r="B49" s="7" t="inlineStr">
        <is>
          <t>Laceration Risks</t>
        </is>
      </c>
      <c r="C49" s="8" t="inlineStr">
        <is>
          <t>Offal racks — ceiling, height control, accountability</t>
        </is>
      </c>
      <c r="D49" s="7" t="inlineStr">
        <is>
          <t>Charlie</t>
        </is>
      </c>
      <c r="E49" s="9" t="n">
        <v>46356</v>
      </c>
      <c r="F49" s="6" t="inlineStr">
        <is>
          <t>Not started</t>
        </is>
      </c>
      <c r="G49" s="6" t="inlineStr">
        <is>
          <t>#524</t>
        </is>
      </c>
      <c r="H49" s="8" t="inlineStr">
        <is>
          <t>One of the 5 roadmap risk-reduction projects</t>
        </is>
      </c>
      <c r="I49" s="12" t="inlineStr"/>
    </row>
    <row r="50">
      <c r="A50" s="6" t="n">
        <v>5</v>
      </c>
      <c r="B50" s="7" t="inlineStr">
        <is>
          <t>Laceration Risks</t>
        </is>
      </c>
      <c r="C50" s="8" t="inlineStr">
        <is>
          <t>Pallet-stacker procedural review + rack-lift procedure</t>
        </is>
      </c>
      <c r="D50" s="7" t="inlineStr">
        <is>
          <t>Charlie / David</t>
        </is>
      </c>
      <c r="E50" s="9" t="n">
        <v>46356</v>
      </c>
      <c r="F50" s="6" t="inlineStr">
        <is>
          <t>Not started</t>
        </is>
      </c>
      <c r="G50" s="6" t="inlineStr">
        <is>
          <t>#688</t>
        </is>
      </c>
      <c r="H50" s="8" t="inlineStr">
        <is>
          <t>Triggered on new stacker arrival</t>
        </is>
      </c>
      <c r="I50" s="12" t="inlineStr"/>
    </row>
    <row r="51">
      <c r="A51" s="6" t="n">
        <v>5</v>
      </c>
      <c r="B51" s="7" t="inlineStr">
        <is>
          <t>Laceration Risks</t>
        </is>
      </c>
      <c r="C51" s="8" t="inlineStr">
        <is>
          <t>Laceration risk register consolidated (bins, carts, conveyors, pallets)</t>
        </is>
      </c>
      <c r="D51" s="7" t="inlineStr">
        <is>
          <t>Charlie</t>
        </is>
      </c>
      <c r="E51" s="9" t="n">
        <v>46374</v>
      </c>
      <c r="F51" s="6" t="inlineStr">
        <is>
          <t>Not started</t>
        </is>
      </c>
      <c r="G51" s="6" t="inlineStr"/>
      <c r="H51" s="8" t="inlineStr">
        <is>
          <t>Covers 4 prior recordables</t>
        </is>
      </c>
      <c r="I51" s="12" t="inlineStr"/>
    </row>
    <row r="52">
      <c r="A52" s="6" t="n">
        <v>5</v>
      </c>
      <c r="B52" s="7" t="inlineStr">
        <is>
          <t>Laceration Risks</t>
        </is>
      </c>
      <c r="C52" s="8" t="inlineStr">
        <is>
          <t>2027 verification pass + WSRA integration</t>
        </is>
      </c>
      <c r="D52" s="7" t="inlineStr">
        <is>
          <t>Charlie</t>
        </is>
      </c>
      <c r="E52" s="9" t="n">
        <v>46477</v>
      </c>
      <c r="F52" s="6" t="inlineStr">
        <is>
          <t>Not started</t>
        </is>
      </c>
      <c r="G52" s="6" t="inlineStr"/>
      <c r="H52" s="8" t="inlineStr"/>
      <c r="I52" s="12" t="inlineStr"/>
    </row>
    <row r="53">
      <c r="A53" s="13" t="n">
        <v>6</v>
      </c>
      <c r="B53" s="14" t="inlineStr">
        <is>
          <t>Laser Loading</t>
        </is>
      </c>
      <c r="C53" s="15" t="inlineStr">
        <is>
          <t>Trumpf contacted re OEM loading method</t>
        </is>
      </c>
      <c r="D53" s="14" t="inlineStr">
        <is>
          <t>Charlie</t>
        </is>
      </c>
      <c r="E53" s="16" t="n">
        <v>46248</v>
      </c>
      <c r="F53" s="18" t="inlineStr">
        <is>
          <t>In progress</t>
        </is>
      </c>
      <c r="G53" s="13" t="inlineStr">
        <is>
          <t>#554</t>
        </is>
      </c>
      <c r="H53" s="15" t="inlineStr">
        <is>
          <t>Roller balls up or down; is the clamshell the right device</t>
        </is>
      </c>
      <c r="I53" s="12" t="inlineStr"/>
    </row>
    <row r="54">
      <c r="A54" s="13" t="n">
        <v>6</v>
      </c>
      <c r="B54" s="14" t="inlineStr">
        <is>
          <t>Laser Loading</t>
        </is>
      </c>
      <c r="C54" s="15" t="inlineStr">
        <is>
          <t>Ashwin reviews Laser 1 loading mod for replication</t>
        </is>
      </c>
      <c r="D54" s="14" t="inlineStr">
        <is>
          <t>Ashwin</t>
        </is>
      </c>
      <c r="E54" s="16" t="n">
        <v>46262</v>
      </c>
      <c r="F54" s="13" t="inlineStr">
        <is>
          <t>Not started</t>
        </is>
      </c>
      <c r="G54" s="13" t="inlineStr">
        <is>
          <t>#554</t>
        </is>
      </c>
      <c r="H54" s="15" t="inlineStr"/>
      <c r="I54" s="12" t="inlineStr"/>
    </row>
    <row r="55">
      <c r="A55" s="13" t="n">
        <v>6</v>
      </c>
      <c r="B55" s="14" t="inlineStr">
        <is>
          <t>Laser Loading</t>
        </is>
      </c>
      <c r="C55" s="15" t="inlineStr">
        <is>
          <t>Scope confirmed against 2027 laser divestiture</t>
        </is>
      </c>
      <c r="D55" s="14" t="inlineStr">
        <is>
          <t>Charlie / Kate</t>
        </is>
      </c>
      <c r="E55" s="16" t="n">
        <v>46295</v>
      </c>
      <c r="F55" s="13" t="inlineStr">
        <is>
          <t>Not started</t>
        </is>
      </c>
      <c r="G55" s="13" t="inlineStr">
        <is>
          <t>KN #416</t>
        </is>
      </c>
      <c r="H55" s="15" t="inlineStr">
        <is>
          <t>See Assumptions tab — two suppliers buying the lasers</t>
        </is>
      </c>
      <c r="I55" s="12" t="inlineStr"/>
    </row>
    <row r="56">
      <c r="A56" s="13" t="n">
        <v>6</v>
      </c>
      <c r="B56" s="14" t="inlineStr">
        <is>
          <t>Laser Loading</t>
        </is>
      </c>
      <c r="C56" s="15" t="inlineStr">
        <is>
          <t>Laser 3 near-miss corrective actions closed</t>
        </is>
      </c>
      <c r="D56" s="14" t="inlineStr">
        <is>
          <t>Charlie</t>
        </is>
      </c>
      <c r="E56" s="16" t="n">
        <v>46290</v>
      </c>
      <c r="F56" s="13" t="inlineStr">
        <is>
          <t>Not started</t>
        </is>
      </c>
      <c r="G56" s="13" t="inlineStr">
        <is>
          <t>KN #441</t>
        </is>
      </c>
      <c r="H56" s="15" t="inlineStr">
        <is>
          <t>Sheet slid, creased 480V control-panel line</t>
        </is>
      </c>
      <c r="I56" s="12" t="inlineStr"/>
    </row>
    <row r="57">
      <c r="A57" s="13" t="n">
        <v>6</v>
      </c>
      <c r="B57" s="14" t="inlineStr">
        <is>
          <t>Laser Loading</t>
        </is>
      </c>
      <c r="C57" s="15" t="inlineStr">
        <is>
          <t>Laser 2 &amp; 3 loading mods implemented</t>
        </is>
      </c>
      <c r="D57" s="14" t="inlineStr">
        <is>
          <t>Ashwin / ATS</t>
        </is>
      </c>
      <c r="E57" s="16" t="n">
        <v>46356</v>
      </c>
      <c r="F57" s="13" t="inlineStr">
        <is>
          <t>Not started</t>
        </is>
      </c>
      <c r="G57" s="13" t="inlineStr">
        <is>
          <t>#554</t>
        </is>
      </c>
      <c r="H57" s="15" t="inlineStr">
        <is>
          <t>Conditional on divestiture scope above</t>
        </is>
      </c>
      <c r="I57" s="12" t="inlineStr"/>
    </row>
    <row r="58">
      <c r="A58" s="13" t="n">
        <v>6</v>
      </c>
      <c r="B58" s="14" t="inlineStr">
        <is>
          <t>Laser Loading</t>
        </is>
      </c>
      <c r="C58" s="15" t="inlineStr">
        <is>
          <t>Overhead crane maintenance / PM restored</t>
        </is>
      </c>
      <c r="D58" s="14" t="inlineStr">
        <is>
          <t>Kate / Gireesh</t>
        </is>
      </c>
      <c r="E58" s="16" t="n">
        <v>46374</v>
      </c>
      <c r="F58" s="13" t="inlineStr">
        <is>
          <t>Not started</t>
        </is>
      </c>
      <c r="G58" s="13" t="inlineStr">
        <is>
          <t>KN #442</t>
        </is>
      </c>
      <c r="H58" s="15" t="inlineStr">
        <is>
          <t>~10 yrs unmaintained; single point of failure for laser loading</t>
        </is>
      </c>
      <c r="I58" s="12" t="inlineStr"/>
    </row>
  </sheetData>
  <autoFilter ref="A6:I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1" customWidth="1" min="4" max="4"/>
    <col width="12" customWidth="1" min="5" max="5"/>
    <col width="10" customWidth="1" min="6" max="6"/>
    <col width="12" customWidth="1" min="7" max="7"/>
    <col width="12" customWidth="1" min="8" max="8"/>
    <col width="16" customWidth="1" min="9" max="9"/>
  </cols>
  <sheetData>
    <row r="1">
      <c r="A1" s="20" t="inlineStr">
        <is>
          <t>Roadmap Summary</t>
        </is>
      </c>
    </row>
    <row r="2">
      <c r="A2" s="4" t="inlineStr">
        <is>
          <t>All figures calculated from the Roadmap tab — they update as Status changes.</t>
        </is>
      </c>
    </row>
    <row r="4" ht="28" customHeight="1">
      <c r="A4" s="21" t="inlineStr">
        <is>
          <t>Pri</t>
        </is>
      </c>
      <c r="B4" s="21" t="inlineStr">
        <is>
          <t>Workstream</t>
        </is>
      </c>
      <c r="C4" s="21" t="inlineStr">
        <is>
          <t>Milestones</t>
        </is>
      </c>
      <c r="D4" s="21" t="inlineStr">
        <is>
          <t>Complete</t>
        </is>
      </c>
      <c r="E4" s="21" t="inlineStr">
        <is>
          <t>In progress</t>
        </is>
      </c>
      <c r="F4" s="21" t="inlineStr">
        <is>
          <t>Overdue</t>
        </is>
      </c>
      <c r="G4" s="21" t="inlineStr">
        <is>
          <t>Not started</t>
        </is>
      </c>
      <c r="H4" s="21" t="inlineStr">
        <is>
          <t>% Complete</t>
        </is>
      </c>
      <c r="I4" s="21" t="inlineStr">
        <is>
          <t>Last target date</t>
        </is>
      </c>
    </row>
    <row r="5">
      <c r="A5" s="22" t="n">
        <v>1</v>
      </c>
      <c r="B5" s="23" t="inlineStr">
        <is>
          <t>Respirators</t>
        </is>
      </c>
      <c r="C5" s="22" t="n">
        <v>6</v>
      </c>
      <c r="D5" s="22">
        <f>COUNTIF(Roadmap!$F$7:$F$12,"Complete")</f>
        <v/>
      </c>
      <c r="E5" s="22">
        <f>COUNTIF(Roadmap!$F$7:$F$12,"In progress")</f>
        <v/>
      </c>
      <c r="F5" s="22">
        <f>COUNTIF(Roadmap!$F$7:$F$12,"Overdue")</f>
        <v/>
      </c>
      <c r="G5" s="22">
        <f>COUNTIF(Roadmap!$F$7:$F$12,"Not started")</f>
        <v/>
      </c>
      <c r="H5" s="24">
        <f>IF($C5=0,0,$D5/$C5)</f>
        <v/>
      </c>
      <c r="I5" s="25">
        <f>MAX(Roadmap!$E$7:$E$12)</f>
        <v/>
      </c>
    </row>
    <row r="6">
      <c r="A6" s="22" t="n">
        <v>2</v>
      </c>
      <c r="B6" s="23" t="inlineStr">
        <is>
          <t>Scrap Bin Standardization</t>
        </is>
      </c>
      <c r="C6" s="22" t="n">
        <v>7</v>
      </c>
      <c r="D6" s="22">
        <f>COUNTIF(Roadmap!$F$13:$F$19,"Complete")</f>
        <v/>
      </c>
      <c r="E6" s="22">
        <f>COUNTIF(Roadmap!$F$13:$F$19,"In progress")</f>
        <v/>
      </c>
      <c r="F6" s="22">
        <f>COUNTIF(Roadmap!$F$13:$F$19,"Overdue")</f>
        <v/>
      </c>
      <c r="G6" s="22">
        <f>COUNTIF(Roadmap!$F$13:$F$19,"Not started")</f>
        <v/>
      </c>
      <c r="H6" s="24">
        <f>IF($C6=0,0,$D6/$C6)</f>
        <v/>
      </c>
      <c r="I6" s="25">
        <f>MAX(Roadmap!$E$13:$E$19)</f>
        <v/>
      </c>
    </row>
    <row r="7">
      <c r="A7" s="22" t="n">
        <v>3</v>
      </c>
      <c r="B7" s="23" t="inlineStr">
        <is>
          <t>Lifting Devices</t>
        </is>
      </c>
      <c r="C7" s="22" t="n">
        <v>12</v>
      </c>
      <c r="D7" s="22">
        <f>COUNTIF(Roadmap!$F$20:$F$31,"Complete")</f>
        <v/>
      </c>
      <c r="E7" s="22">
        <f>COUNTIF(Roadmap!$F$20:$F$31,"In progress")</f>
        <v/>
      </c>
      <c r="F7" s="22">
        <f>COUNTIF(Roadmap!$F$20:$F$31,"Overdue")</f>
        <v/>
      </c>
      <c r="G7" s="22">
        <f>COUNTIF(Roadmap!$F$20:$F$31,"Not started")</f>
        <v/>
      </c>
      <c r="H7" s="24">
        <f>IF($C7=0,0,$D7/$C7)</f>
        <v/>
      </c>
      <c r="I7" s="25">
        <f>MAX(Roadmap!$E$20:$E$31)</f>
        <v/>
      </c>
    </row>
    <row r="8">
      <c r="A8" s="22" t="n">
        <v>4</v>
      </c>
      <c r="B8" s="23" t="inlineStr">
        <is>
          <t>Press Brakes</t>
        </is>
      </c>
      <c r="C8" s="22" t="n">
        <v>12</v>
      </c>
      <c r="D8" s="22">
        <f>COUNTIF(Roadmap!$F$32:$F$43,"Complete")</f>
        <v/>
      </c>
      <c r="E8" s="22">
        <f>COUNTIF(Roadmap!$F$32:$F$43,"In progress")</f>
        <v/>
      </c>
      <c r="F8" s="22">
        <f>COUNTIF(Roadmap!$F$32:$F$43,"Overdue")</f>
        <v/>
      </c>
      <c r="G8" s="22">
        <f>COUNTIF(Roadmap!$F$32:$F$43,"Not started")</f>
        <v/>
      </c>
      <c r="H8" s="24">
        <f>IF($C8=0,0,$D8/$C8)</f>
        <v/>
      </c>
      <c r="I8" s="25">
        <f>MAX(Roadmap!$E$32:$E$43)</f>
        <v/>
      </c>
    </row>
    <row r="9">
      <c r="A9" s="22" t="n">
        <v>5</v>
      </c>
      <c r="B9" s="23" t="inlineStr">
        <is>
          <t>Laceration Risks</t>
        </is>
      </c>
      <c r="C9" s="22" t="n">
        <v>9</v>
      </c>
      <c r="D9" s="22">
        <f>COUNTIF(Roadmap!$F$44:$F$52,"Complete")</f>
        <v/>
      </c>
      <c r="E9" s="22">
        <f>COUNTIF(Roadmap!$F$44:$F$52,"In progress")</f>
        <v/>
      </c>
      <c r="F9" s="22">
        <f>COUNTIF(Roadmap!$F$44:$F$52,"Overdue")</f>
        <v/>
      </c>
      <c r="G9" s="22">
        <f>COUNTIF(Roadmap!$F$44:$F$52,"Not started")</f>
        <v/>
      </c>
      <c r="H9" s="24">
        <f>IF($C9=0,0,$D9/$C9)</f>
        <v/>
      </c>
      <c r="I9" s="25">
        <f>MAX(Roadmap!$E$44:$E$52)</f>
        <v/>
      </c>
    </row>
    <row r="10">
      <c r="A10" s="22" t="n">
        <v>6</v>
      </c>
      <c r="B10" s="23" t="inlineStr">
        <is>
          <t>Laser Loading</t>
        </is>
      </c>
      <c r="C10" s="22" t="n">
        <v>6</v>
      </c>
      <c r="D10" s="22">
        <f>COUNTIF(Roadmap!$F$53:$F$58,"Complete")</f>
        <v/>
      </c>
      <c r="E10" s="22">
        <f>COUNTIF(Roadmap!$F$53:$F$58,"In progress")</f>
        <v/>
      </c>
      <c r="F10" s="22">
        <f>COUNTIF(Roadmap!$F$53:$F$58,"Overdue")</f>
        <v/>
      </c>
      <c r="G10" s="22">
        <f>COUNTIF(Roadmap!$F$53:$F$58,"Not started")</f>
        <v/>
      </c>
      <c r="H10" s="24">
        <f>IF($C10=0,0,$D10/$C10)</f>
        <v/>
      </c>
      <c r="I10" s="25">
        <f>MAX(Roadmap!$E$53:$E$58)</f>
        <v/>
      </c>
    </row>
    <row r="11">
      <c r="A11" s="26" t="n"/>
      <c r="B11" s="26" t="inlineStr">
        <is>
          <t>TOTAL</t>
        </is>
      </c>
      <c r="C11" s="27">
        <f>SUM(C5:C10)</f>
        <v/>
      </c>
      <c r="D11" s="27">
        <f>SUM(D5:D10)</f>
        <v/>
      </c>
      <c r="E11" s="27">
        <f>SUM(E5:E10)</f>
        <v/>
      </c>
      <c r="F11" s="27">
        <f>SUM(F5:F10)</f>
        <v/>
      </c>
      <c r="G11" s="27">
        <f>SUM(G5:G10)</f>
        <v/>
      </c>
      <c r="H11" s="28">
        <f>IF($C11=0,0,$D11/$C11)</f>
        <v/>
      </c>
      <c r="I11" s="29">
        <f>MAX(Roadmap!$E$7:$E$58)</f>
        <v/>
      </c>
    </row>
    <row r="13">
      <c r="B13" s="4" t="inlineStr">
        <is>
          <t>Counts read Status on the Roadmap tab; % Complete = Complete / Milestones. Update Status there and these refresh.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2" customWidth="1" min="3" max="3"/>
    <col width="50" customWidth="1" min="4" max="4"/>
  </cols>
  <sheetData>
    <row r="1">
      <c r="A1" s="20" t="inlineStr">
        <is>
          <t>Assumptions and Open Items</t>
        </is>
      </c>
    </row>
    <row r="2">
      <c r="A2" s="4" t="inlineStr">
        <is>
          <t>These drive the dates on the Roadmap tab. If an assumption is wrong the dates move — flag it and I will reissue.</t>
        </is>
      </c>
    </row>
    <row r="4" ht="28" customHeight="1">
      <c r="A4" s="21" t="inlineStr">
        <is>
          <t>#</t>
        </is>
      </c>
      <c r="B4" s="21" t="inlineStr">
        <is>
          <t>Item</t>
        </is>
      </c>
      <c r="C4" s="21" t="inlineStr">
        <is>
          <t>Assumption made</t>
        </is>
      </c>
      <c r="D4" s="21" t="inlineStr">
        <is>
          <t>What I need from you</t>
        </is>
      </c>
    </row>
    <row r="5">
      <c r="A5" s="6" t="n">
        <v>1</v>
      </c>
      <c r="B5" s="8" t="inlineStr">
        <is>
          <t>Press brakes — definition of done</t>
        </is>
      </c>
      <c r="C5" s="8" t="inlineStr">
        <is>
          <t>I have taken 'done' to mean all three: high-risk parts identified and routed through the 4 safe press brakes and the Amada, the AI camera system installed and validated, and the new-equipment standard written. Routing and the standard land in 2026; camera install runs into Q1 2027 on lead time.</t>
        </is>
      </c>
      <c r="D5" s="12" t="inlineStr">
        <is>
          <t>Confirm this is the finish line you have in mind, or tell me which of the three you are dating.</t>
        </is>
      </c>
    </row>
    <row r="6">
      <c r="A6" s="6" t="n">
        <v>2</v>
      </c>
      <c r="B6" s="8" t="inlineStr">
        <is>
          <t>Laser loading vs 2027 divestiture</t>
        </is>
      </c>
      <c r="C6" s="8" t="inlineStr">
        <is>
          <t>Two suppliers are buying the lasers, punches and spot welders as Sumter moves to switchboard-only in 2027 (KN #416). I have scoped Laser 2 and 3 loading mods as conditional and put a scope-confirmation gate in September before any spend.</t>
        </is>
      </c>
      <c r="D6" s="12" t="inlineStr">
        <is>
          <t>Whether we invest in loading mods for assets that leave in 2027, or hold at controls and training only.</t>
        </is>
      </c>
    </row>
    <row r="7">
      <c r="A7" s="6" t="n">
        <v>3</v>
      </c>
      <c r="B7" s="8" t="inlineStr">
        <is>
          <t>Q3 CapEx gate</t>
        </is>
      </c>
      <c r="C7" s="8" t="inlineStr">
        <is>
          <t>Lifting device purchases and the AI camera order both assume the ~$250k Q3 CapEx lands in August as planned. PO placed September with 10% down to lock it.</t>
        </is>
      </c>
      <c r="D7" s="12" t="inlineStr">
        <is>
          <t>Confirm the August timing and whether the AI camera comes out of this pot or a separate one.</t>
        </is>
      </c>
    </row>
    <row r="8">
      <c r="A8" s="6" t="n">
        <v>4</v>
      </c>
      <c r="B8" s="8" t="inlineStr">
        <is>
          <t>Respirators scope</t>
        </is>
      </c>
      <c r="C8" s="8" t="inlineStr">
        <is>
          <t>Treated as a compliance-maintenance workstream, not a build — inspection cadence, TPM schedule, forms and the annual program review. No new respirator selection or fit-test program assumed.</t>
        </is>
      </c>
      <c r="D8" s="12" t="inlineStr">
        <is>
          <t>Confirm nothing larger is intended here.</t>
        </is>
      </c>
    </row>
    <row r="9">
      <c r="A9" s="6" t="n">
        <v>5</v>
      </c>
      <c r="B9" s="8" t="inlineStr">
        <is>
          <t>Owner assignments</t>
        </is>
      </c>
      <c r="C9" s="8" t="inlineStr">
        <is>
          <t>Where a task had no owner in the system I have put myself. Ashwin carries the engineering reviews, ATS the fabrication and install.</t>
        </is>
      </c>
      <c r="D9" s="12" t="inlineStr">
        <is>
          <t>Correct anything I have assigned to the wrong person.</t>
        </is>
      </c>
    </row>
    <row r="10">
      <c r="A10" s="6" t="n">
        <v>6</v>
      </c>
      <c r="B10" s="8" t="inlineStr">
        <is>
          <t>Overdue items</t>
        </is>
      </c>
      <c r="C10" s="8" t="inlineStr">
        <is>
          <t>Five items were already past their date at issue and are dated forward into August: vacuum lift solenoid (Benchmark #162), the two press-brake communications, the operator talk-down and the die-change method sheet.</t>
        </is>
      </c>
      <c r="D10" s="12" t="inlineStr">
        <is>
          <t>No action needed — flagging so the red on the sheet is not a surprise.</t>
        </is>
      </c>
    </row>
    <row r="11">
      <c r="A11" s="6" t="n">
        <v>7</v>
      </c>
      <c r="B11" s="8" t="inlineStr">
        <is>
          <t>Dates are targets</t>
        </is>
      </c>
      <c r="C11" s="8" t="inlineStr">
        <is>
          <t>Working targets for sequencing and 1:1 review, not committed dates to corporate. Nothing here has been shared outside the two of us.</t>
        </is>
      </c>
      <c r="D11" s="12" t="inlineStr">
        <is>
          <t>Tell me which of these you want turned into committed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2026-08-03T14:10:59Z</dcterms:created>
  <dcterms:modified xsi:type="dcterms:W3CDTF">2026-08-03T14:10:59Z</dcterms:modified>
</cp:coreProperties>
</file>